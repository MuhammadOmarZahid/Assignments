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uham\OneDrive\Documents\"/>
    </mc:Choice>
  </mc:AlternateContent>
  <xr:revisionPtr revIDLastSave="0" documentId="13_ncr:1_{A506995A-13AC-46A5-B449-932F90A1884F}" xr6:coauthVersionLast="47" xr6:coauthVersionMax="47" xr10:uidLastSave="{00000000-0000-0000-0000-000000000000}"/>
  <bookViews>
    <workbookView xWindow="-108" yWindow="-108" windowWidth="23256" windowHeight="12456" xr2:uid="{57706EDB-C4B5-4F89-9942-46AF1501A568}"/>
  </bookViews>
  <sheets>
    <sheet name="Sheet1" sheetId="1" r:id="rId1"/>
  </sheets>
  <definedNames>
    <definedName name="_xlchart.v1.0" hidden="1">Sheet1!$B$8:$B$107</definedName>
    <definedName name="_xlchart.v1.1" hidden="1">Sheet1!$B$8:$B$107</definedName>
    <definedName name="_xlchart.v1.2" hidden="1">Sheet1!$B$8:$B$107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7" i="1" l="1"/>
  <c r="C118" i="1"/>
  <c r="C119" i="1"/>
  <c r="C120" i="1"/>
  <c r="C121" i="1"/>
  <c r="C122" i="1"/>
  <c r="C123" i="1"/>
  <c r="C124" i="1"/>
  <c r="C125" i="1"/>
  <c r="C126" i="1"/>
  <c r="C127" i="1"/>
  <c r="C128" i="1"/>
  <c r="C129" i="1"/>
  <c r="C130" i="1"/>
  <c r="C131" i="1"/>
  <c r="C132" i="1"/>
  <c r="C133" i="1"/>
  <c r="C134" i="1"/>
  <c r="C135" i="1"/>
  <c r="C136" i="1"/>
  <c r="C116" i="1"/>
  <c r="B112" i="1"/>
  <c r="B111" i="1"/>
  <c r="B110"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8" i="1"/>
  <c r="B4" i="1"/>
  <c r="B3" i="1"/>
  <c r="B2" i="1"/>
  <c r="N7" i="1" l="1"/>
</calcChain>
</file>

<file path=xl/sharedStrings.xml><?xml version="1.0" encoding="utf-8"?>
<sst xmlns="http://schemas.openxmlformats.org/spreadsheetml/2006/main" count="22" uniqueCount="13">
  <si>
    <t>Question1</t>
  </si>
  <si>
    <t>1-</t>
  </si>
  <si>
    <t>2-</t>
  </si>
  <si>
    <t>3-</t>
  </si>
  <si>
    <t>Question2</t>
  </si>
  <si>
    <t>Scores</t>
  </si>
  <si>
    <t>Question3</t>
  </si>
  <si>
    <t>Question 4</t>
  </si>
  <si>
    <t>Density</t>
  </si>
  <si>
    <t>Speed</t>
  </si>
  <si>
    <t>Most likely speeds are near: 45 TO 55 MB</t>
  </si>
  <si>
    <t xml:space="preserve">RULE: 50±5  So 68% falls between 45 and 55 MB </t>
  </si>
  <si>
    <t>Conclusion: The assignment demonstrated how Normal Distribution is applied in computer science scenarios such as server response times, exam score analysis, bug fixing duration, and internet download speeds. Excel functions like NORM.DIST, NORM.INV, and RAND() were used to calculate probabilities, percentiles, and simulate datasets. Histograms and line graphs helped visualize how data follows the bell-shaped normal curve. The results showed that most values cluster around the mean, while extreme values occur with lower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</si>
</sst>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 Distribution of Download Speeds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lineChart>
        <c:grouping val="standard"/>
        <c:varyColors val="0"/>
        <c:ser>
          <c:idx val="0"/>
          <c:order val="0"/>
          <c:tx>
            <c:strRef>
              <c:f>Sheet1!$B$115</c:f>
              <c:strCache>
                <c:ptCount val="1"/>
                <c:pt idx="0">
                  <c:v>Speed</c:v>
                </c:pt>
              </c:strCache>
            </c:strRef>
          </c:tx>
          <c:spPr>
            <a:ln w="28575" cap="rnd">
              <a:solidFill>
                <a:schemeClr val="accent1"/>
              </a:solidFill>
              <a:round/>
            </a:ln>
            <a:effectLst/>
          </c:spPr>
          <c:marker>
            <c:symbol val="none"/>
          </c:marker>
          <c:val>
            <c:numRef>
              <c:f>Sheet1!$B$116:$B$136</c:f>
              <c:numCache>
                <c:formatCode>General</c:formatCode>
                <c:ptCount val="21"/>
                <c:pt idx="0">
                  <c:v>30</c:v>
                </c:pt>
                <c:pt idx="1">
                  <c:v>32</c:v>
                </c:pt>
                <c:pt idx="2">
                  <c:v>34</c:v>
                </c:pt>
                <c:pt idx="3">
                  <c:v>36</c:v>
                </c:pt>
                <c:pt idx="4">
                  <c:v>38</c:v>
                </c:pt>
                <c:pt idx="5">
                  <c:v>40</c:v>
                </c:pt>
                <c:pt idx="6">
                  <c:v>42</c:v>
                </c:pt>
                <c:pt idx="7">
                  <c:v>44</c:v>
                </c:pt>
                <c:pt idx="8">
                  <c:v>46</c:v>
                </c:pt>
                <c:pt idx="9">
                  <c:v>48</c:v>
                </c:pt>
                <c:pt idx="10">
                  <c:v>50</c:v>
                </c:pt>
                <c:pt idx="11">
                  <c:v>52</c:v>
                </c:pt>
                <c:pt idx="12">
                  <c:v>54</c:v>
                </c:pt>
                <c:pt idx="13">
                  <c:v>56</c:v>
                </c:pt>
                <c:pt idx="14">
                  <c:v>58</c:v>
                </c:pt>
                <c:pt idx="15">
                  <c:v>60</c:v>
                </c:pt>
                <c:pt idx="16">
                  <c:v>62</c:v>
                </c:pt>
                <c:pt idx="17">
                  <c:v>64</c:v>
                </c:pt>
                <c:pt idx="18">
                  <c:v>66</c:v>
                </c:pt>
                <c:pt idx="19">
                  <c:v>68</c:v>
                </c:pt>
                <c:pt idx="20">
                  <c:v>70</c:v>
                </c:pt>
              </c:numCache>
            </c:numRef>
          </c:val>
          <c:smooth val="0"/>
          <c:extLst>
            <c:ext xmlns:c16="http://schemas.microsoft.com/office/drawing/2014/chart" uri="{C3380CC4-5D6E-409C-BE32-E72D297353CC}">
              <c16:uniqueId val="{00000000-B69C-421E-A593-F405979A4B1B}"/>
            </c:ext>
          </c:extLst>
        </c:ser>
        <c:ser>
          <c:idx val="1"/>
          <c:order val="1"/>
          <c:tx>
            <c:strRef>
              <c:f>Sheet1!$C$115</c:f>
              <c:strCache>
                <c:ptCount val="1"/>
                <c:pt idx="0">
                  <c:v>Density</c:v>
                </c:pt>
              </c:strCache>
            </c:strRef>
          </c:tx>
          <c:spPr>
            <a:ln w="28575" cap="rnd">
              <a:solidFill>
                <a:schemeClr val="accent2"/>
              </a:solidFill>
              <a:round/>
            </a:ln>
            <a:effectLst/>
          </c:spPr>
          <c:marker>
            <c:symbol val="none"/>
          </c:marker>
          <c:val>
            <c:numRef>
              <c:f>Sheet1!$C$116:$C$136</c:f>
              <c:numCache>
                <c:formatCode>General</c:formatCode>
                <c:ptCount val="21"/>
                <c:pt idx="0">
                  <c:v>2.6766045152977071E-5</c:v>
                </c:pt>
                <c:pt idx="1">
                  <c:v>1.2238038602275437E-4</c:v>
                </c:pt>
                <c:pt idx="2">
                  <c:v>4.768176402929681E-4</c:v>
                </c:pt>
                <c:pt idx="3">
                  <c:v>1.5830903165959939E-3</c:v>
                </c:pt>
                <c:pt idx="4">
                  <c:v>4.4789060589685804E-3</c:v>
                </c:pt>
                <c:pt idx="5">
                  <c:v>1.0798193302637612E-2</c:v>
                </c:pt>
                <c:pt idx="6">
                  <c:v>2.2184166935891109E-2</c:v>
                </c:pt>
                <c:pt idx="7">
                  <c:v>3.8837210996642592E-2</c:v>
                </c:pt>
                <c:pt idx="8">
                  <c:v>5.7938310552296549E-2</c:v>
                </c:pt>
                <c:pt idx="9">
                  <c:v>7.3654028060664664E-2</c:v>
                </c:pt>
                <c:pt idx="10">
                  <c:v>7.9788456080286549E-2</c:v>
                </c:pt>
                <c:pt idx="11">
                  <c:v>7.3654028060664664E-2</c:v>
                </c:pt>
                <c:pt idx="12">
                  <c:v>5.7938310552296549E-2</c:v>
                </c:pt>
                <c:pt idx="13">
                  <c:v>3.8837210996642592E-2</c:v>
                </c:pt>
                <c:pt idx="14">
                  <c:v>2.2184166935891109E-2</c:v>
                </c:pt>
                <c:pt idx="15">
                  <c:v>1.0798193302637612E-2</c:v>
                </c:pt>
                <c:pt idx="16">
                  <c:v>4.4789060589685804E-3</c:v>
                </c:pt>
                <c:pt idx="17">
                  <c:v>1.5830903165959939E-3</c:v>
                </c:pt>
                <c:pt idx="18">
                  <c:v>4.768176402929681E-4</c:v>
                </c:pt>
                <c:pt idx="19">
                  <c:v>1.2238038602275437E-4</c:v>
                </c:pt>
                <c:pt idx="20">
                  <c:v>2.6766045152977071E-5</c:v>
                </c:pt>
              </c:numCache>
            </c:numRef>
          </c:val>
          <c:smooth val="0"/>
          <c:extLst>
            <c:ext xmlns:c16="http://schemas.microsoft.com/office/drawing/2014/chart" uri="{C3380CC4-5D6E-409C-BE32-E72D297353CC}">
              <c16:uniqueId val="{00000001-B69C-421E-A593-F405979A4B1B}"/>
            </c:ext>
          </c:extLst>
        </c:ser>
        <c:dLbls>
          <c:showLegendKey val="0"/>
          <c:showVal val="0"/>
          <c:showCatName val="0"/>
          <c:showSerName val="0"/>
          <c:showPercent val="0"/>
          <c:showBubbleSize val="0"/>
        </c:dLbls>
        <c:smooth val="0"/>
        <c:axId val="1908991504"/>
        <c:axId val="1908991984"/>
      </c:lineChart>
      <c:catAx>
        <c:axId val="1908991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08991984"/>
        <c:crosses val="autoZero"/>
        <c:auto val="1"/>
        <c:lblAlgn val="ctr"/>
        <c:lblOffset val="100"/>
        <c:noMultiLvlLbl val="0"/>
      </c:catAx>
      <c:valAx>
        <c:axId val="19089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0899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Scores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Scores</a:t>
          </a:r>
        </a:p>
      </cx:txPr>
    </cx:title>
    <cx:plotArea>
      <cx:plotAreaRegion>
        <cx:series layoutId="clusteredColumn" uniqueId="{FA2A5DD8-30CB-4F17-AC19-9FC093CB09D6}">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594360</xdr:colOff>
      <xdr:row>6</xdr:row>
      <xdr:rowOff>3810</xdr:rowOff>
    </xdr:from>
    <xdr:to>
      <xdr:col>11</xdr:col>
      <xdr:colOff>289560</xdr:colOff>
      <xdr:row>21</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312A82B-8CBB-6FD9-9663-FFEDB62153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23160" y="1101090"/>
              <a:ext cx="457200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317500</xdr:colOff>
      <xdr:row>115</xdr:row>
      <xdr:rowOff>17929</xdr:rowOff>
    </xdr:from>
    <xdr:to>
      <xdr:col>10</xdr:col>
      <xdr:colOff>459441</xdr:colOff>
      <xdr:row>130</xdr:row>
      <xdr:rowOff>71718</xdr:rowOff>
    </xdr:to>
    <xdr:graphicFrame macro="">
      <xdr:nvGraphicFramePr>
        <xdr:cNvPr id="6" name="Chart 5">
          <a:extLst>
            <a:ext uri="{FF2B5EF4-FFF2-40B4-BE49-F238E27FC236}">
              <a16:creationId xmlns:a16="http://schemas.microsoft.com/office/drawing/2014/main" id="{D55A7999-0608-553D-8F2E-B414917EF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08A5-BD8A-4002-843E-0B819E8C2B4D}">
  <dimension ref="A1:N142"/>
  <sheetViews>
    <sheetView tabSelected="1" zoomScale="102" workbookViewId="0">
      <selection activeCell="F150" sqref="F150"/>
    </sheetView>
  </sheetViews>
  <sheetFormatPr defaultRowHeight="14.4" x14ac:dyDescent="0.3"/>
  <cols>
    <col min="3" max="3" width="11.6640625" bestFit="1" customWidth="1"/>
    <col min="4" max="4" width="11" bestFit="1" customWidth="1"/>
  </cols>
  <sheetData>
    <row r="1" spans="1:14" x14ac:dyDescent="0.3">
      <c r="A1" s="1" t="s">
        <v>0</v>
      </c>
    </row>
    <row r="2" spans="1:14" x14ac:dyDescent="0.3">
      <c r="A2" s="1" t="s">
        <v>1</v>
      </c>
      <c r="B2">
        <f>_xlfn.NORM.DIST(100,120,15,TRUE)</f>
        <v>9.1211219725867876E-2</v>
      </c>
    </row>
    <row r="3" spans="1:14" x14ac:dyDescent="0.3">
      <c r="A3" s="1" t="s">
        <v>2</v>
      </c>
      <c r="B3">
        <f>_xlfn.NORM.DIST(130,120,15,TRUE)-_xlfn.NORM.DIST(110,120,15,TRUE)</f>
        <v>0.49501492490615417</v>
      </c>
    </row>
    <row r="4" spans="1:14" x14ac:dyDescent="0.3">
      <c r="A4" s="1" t="s">
        <v>3</v>
      </c>
      <c r="B4">
        <f>_xlfn.NORM.INV(0.9,120,15)</f>
        <v>139.22327348316901</v>
      </c>
    </row>
    <row r="6" spans="1:14" x14ac:dyDescent="0.3">
      <c r="A6" s="1" t="s">
        <v>4</v>
      </c>
    </row>
    <row r="7" spans="1:14" x14ac:dyDescent="0.3">
      <c r="A7" s="1" t="s">
        <v>1</v>
      </c>
      <c r="B7" t="s">
        <v>5</v>
      </c>
      <c r="D7" s="1" t="s">
        <v>2</v>
      </c>
      <c r="M7" s="1" t="s">
        <v>3</v>
      </c>
      <c r="N7">
        <f ca="1">COUNTIF(B7:B107,"&gt;85")</f>
        <v>19</v>
      </c>
    </row>
    <row r="8" spans="1:14" x14ac:dyDescent="0.3">
      <c r="B8">
        <f ca="1">_xlfn.NORM.INV(RAND(),75,10)</f>
        <v>75.591093171822209</v>
      </c>
    </row>
    <row r="9" spans="1:14" x14ac:dyDescent="0.3">
      <c r="B9">
        <f t="shared" ref="B9:B72" ca="1" si="0">_xlfn.NORM.INV(RAND(),75,10)</f>
        <v>82.195714560298043</v>
      </c>
    </row>
    <row r="10" spans="1:14" x14ac:dyDescent="0.3">
      <c r="B10">
        <f t="shared" ca="1" si="0"/>
        <v>80.315194078527497</v>
      </c>
    </row>
    <row r="11" spans="1:14" x14ac:dyDescent="0.3">
      <c r="B11">
        <f t="shared" ca="1" si="0"/>
        <v>98.284296420957247</v>
      </c>
    </row>
    <row r="12" spans="1:14" x14ac:dyDescent="0.3">
      <c r="B12">
        <f t="shared" ca="1" si="0"/>
        <v>76.672230675117333</v>
      </c>
    </row>
    <row r="13" spans="1:14" x14ac:dyDescent="0.3">
      <c r="B13">
        <f t="shared" ca="1" si="0"/>
        <v>77.364146781005545</v>
      </c>
    </row>
    <row r="14" spans="1:14" x14ac:dyDescent="0.3">
      <c r="B14">
        <f t="shared" ca="1" si="0"/>
        <v>72.221617722025783</v>
      </c>
    </row>
    <row r="15" spans="1:14" x14ac:dyDescent="0.3">
      <c r="B15">
        <f t="shared" ca="1" si="0"/>
        <v>79.236687916968762</v>
      </c>
    </row>
    <row r="16" spans="1:14" x14ac:dyDescent="0.3">
      <c r="B16">
        <f t="shared" ca="1" si="0"/>
        <v>70.799254948452614</v>
      </c>
    </row>
    <row r="17" spans="2:2" x14ac:dyDescent="0.3">
      <c r="B17">
        <f t="shared" ca="1" si="0"/>
        <v>80.215450897631911</v>
      </c>
    </row>
    <row r="18" spans="2:2" x14ac:dyDescent="0.3">
      <c r="B18">
        <f t="shared" ca="1" si="0"/>
        <v>71.199269613359291</v>
      </c>
    </row>
    <row r="19" spans="2:2" x14ac:dyDescent="0.3">
      <c r="B19">
        <f t="shared" ca="1" si="0"/>
        <v>79.827332990666406</v>
      </c>
    </row>
    <row r="20" spans="2:2" x14ac:dyDescent="0.3">
      <c r="B20">
        <f t="shared" ca="1" si="0"/>
        <v>69.210375357249191</v>
      </c>
    </row>
    <row r="21" spans="2:2" x14ac:dyDescent="0.3">
      <c r="B21">
        <f t="shared" ca="1" si="0"/>
        <v>87.107037825873306</v>
      </c>
    </row>
    <row r="22" spans="2:2" x14ac:dyDescent="0.3">
      <c r="B22">
        <f t="shared" ca="1" si="0"/>
        <v>81.514090624979104</v>
      </c>
    </row>
    <row r="23" spans="2:2" x14ac:dyDescent="0.3">
      <c r="B23">
        <f t="shared" ca="1" si="0"/>
        <v>79.571893158109873</v>
      </c>
    </row>
    <row r="24" spans="2:2" x14ac:dyDescent="0.3">
      <c r="B24">
        <f t="shared" ca="1" si="0"/>
        <v>84.365291914375575</v>
      </c>
    </row>
    <row r="25" spans="2:2" x14ac:dyDescent="0.3">
      <c r="B25">
        <f t="shared" ca="1" si="0"/>
        <v>68.268944961750179</v>
      </c>
    </row>
    <row r="26" spans="2:2" x14ac:dyDescent="0.3">
      <c r="B26">
        <f t="shared" ca="1" si="0"/>
        <v>71.535661989771313</v>
      </c>
    </row>
    <row r="27" spans="2:2" x14ac:dyDescent="0.3">
      <c r="B27">
        <f t="shared" ca="1" si="0"/>
        <v>91.645272014559481</v>
      </c>
    </row>
    <row r="28" spans="2:2" x14ac:dyDescent="0.3">
      <c r="B28">
        <f t="shared" ca="1" si="0"/>
        <v>70.633755272598705</v>
      </c>
    </row>
    <row r="29" spans="2:2" x14ac:dyDescent="0.3">
      <c r="B29">
        <f t="shared" ca="1" si="0"/>
        <v>63.028270200311965</v>
      </c>
    </row>
    <row r="30" spans="2:2" x14ac:dyDescent="0.3">
      <c r="B30">
        <f t="shared" ca="1" si="0"/>
        <v>93.717604901358925</v>
      </c>
    </row>
    <row r="31" spans="2:2" x14ac:dyDescent="0.3">
      <c r="B31">
        <f t="shared" ca="1" si="0"/>
        <v>81.209356257724608</v>
      </c>
    </row>
    <row r="32" spans="2:2" x14ac:dyDescent="0.3">
      <c r="B32">
        <f t="shared" ca="1" si="0"/>
        <v>73.070402424574027</v>
      </c>
    </row>
    <row r="33" spans="2:2" x14ac:dyDescent="0.3">
      <c r="B33">
        <f t="shared" ca="1" si="0"/>
        <v>86.104450306200675</v>
      </c>
    </row>
    <row r="34" spans="2:2" x14ac:dyDescent="0.3">
      <c r="B34">
        <f t="shared" ca="1" si="0"/>
        <v>71.872697885669538</v>
      </c>
    </row>
    <row r="35" spans="2:2" x14ac:dyDescent="0.3">
      <c r="B35">
        <f t="shared" ca="1" si="0"/>
        <v>47.056239311731531</v>
      </c>
    </row>
    <row r="36" spans="2:2" x14ac:dyDescent="0.3">
      <c r="B36">
        <f t="shared" ca="1" si="0"/>
        <v>79.005551631406291</v>
      </c>
    </row>
    <row r="37" spans="2:2" x14ac:dyDescent="0.3">
      <c r="B37">
        <f t="shared" ca="1" si="0"/>
        <v>57.184393934462761</v>
      </c>
    </row>
    <row r="38" spans="2:2" x14ac:dyDescent="0.3">
      <c r="B38">
        <f t="shared" ca="1" si="0"/>
        <v>76.528330504679218</v>
      </c>
    </row>
    <row r="39" spans="2:2" x14ac:dyDescent="0.3">
      <c r="B39">
        <f t="shared" ca="1" si="0"/>
        <v>73.222282935496239</v>
      </c>
    </row>
    <row r="40" spans="2:2" x14ac:dyDescent="0.3">
      <c r="B40">
        <f t="shared" ca="1" si="0"/>
        <v>86.805472696334206</v>
      </c>
    </row>
    <row r="41" spans="2:2" x14ac:dyDescent="0.3">
      <c r="B41">
        <f t="shared" ca="1" si="0"/>
        <v>74.091977618301527</v>
      </c>
    </row>
    <row r="42" spans="2:2" x14ac:dyDescent="0.3">
      <c r="B42">
        <f t="shared" ca="1" si="0"/>
        <v>61.626988060058537</v>
      </c>
    </row>
    <row r="43" spans="2:2" x14ac:dyDescent="0.3">
      <c r="B43">
        <f t="shared" ca="1" si="0"/>
        <v>49.282046788060818</v>
      </c>
    </row>
    <row r="44" spans="2:2" x14ac:dyDescent="0.3">
      <c r="B44">
        <f t="shared" ca="1" si="0"/>
        <v>65.957433123614351</v>
      </c>
    </row>
    <row r="45" spans="2:2" x14ac:dyDescent="0.3">
      <c r="B45">
        <f t="shared" ca="1" si="0"/>
        <v>76.819576187780129</v>
      </c>
    </row>
    <row r="46" spans="2:2" x14ac:dyDescent="0.3">
      <c r="B46">
        <f t="shared" ca="1" si="0"/>
        <v>69.979170016621836</v>
      </c>
    </row>
    <row r="47" spans="2:2" x14ac:dyDescent="0.3">
      <c r="B47">
        <f t="shared" ca="1" si="0"/>
        <v>55.055330868366525</v>
      </c>
    </row>
    <row r="48" spans="2:2" x14ac:dyDescent="0.3">
      <c r="B48">
        <f t="shared" ca="1" si="0"/>
        <v>81.018432583012881</v>
      </c>
    </row>
    <row r="49" spans="2:2" x14ac:dyDescent="0.3">
      <c r="B49">
        <f t="shared" ca="1" si="0"/>
        <v>85.058054782624453</v>
      </c>
    </row>
    <row r="50" spans="2:2" x14ac:dyDescent="0.3">
      <c r="B50">
        <f t="shared" ca="1" si="0"/>
        <v>91.667752767950518</v>
      </c>
    </row>
    <row r="51" spans="2:2" x14ac:dyDescent="0.3">
      <c r="B51">
        <f t="shared" ca="1" si="0"/>
        <v>102.29263722361345</v>
      </c>
    </row>
    <row r="52" spans="2:2" x14ac:dyDescent="0.3">
      <c r="B52">
        <f t="shared" ca="1" si="0"/>
        <v>83.486077027708404</v>
      </c>
    </row>
    <row r="53" spans="2:2" x14ac:dyDescent="0.3">
      <c r="B53">
        <f t="shared" ca="1" si="0"/>
        <v>58.704993006479242</v>
      </c>
    </row>
    <row r="54" spans="2:2" x14ac:dyDescent="0.3">
      <c r="B54">
        <f t="shared" ca="1" si="0"/>
        <v>68.502244427158217</v>
      </c>
    </row>
    <row r="55" spans="2:2" x14ac:dyDescent="0.3">
      <c r="B55">
        <f t="shared" ca="1" si="0"/>
        <v>86.065392930288596</v>
      </c>
    </row>
    <row r="56" spans="2:2" x14ac:dyDescent="0.3">
      <c r="B56">
        <f t="shared" ca="1" si="0"/>
        <v>67.334549680677725</v>
      </c>
    </row>
    <row r="57" spans="2:2" x14ac:dyDescent="0.3">
      <c r="B57">
        <f t="shared" ca="1" si="0"/>
        <v>88.622298333428176</v>
      </c>
    </row>
    <row r="58" spans="2:2" x14ac:dyDescent="0.3">
      <c r="B58">
        <f t="shared" ca="1" si="0"/>
        <v>76.152179703770884</v>
      </c>
    </row>
    <row r="59" spans="2:2" x14ac:dyDescent="0.3">
      <c r="B59">
        <f t="shared" ca="1" si="0"/>
        <v>82.332371351398251</v>
      </c>
    </row>
    <row r="60" spans="2:2" x14ac:dyDescent="0.3">
      <c r="B60">
        <f t="shared" ca="1" si="0"/>
        <v>58.22243035422504</v>
      </c>
    </row>
    <row r="61" spans="2:2" x14ac:dyDescent="0.3">
      <c r="B61">
        <f t="shared" ca="1" si="0"/>
        <v>74.520961647443883</v>
      </c>
    </row>
    <row r="62" spans="2:2" x14ac:dyDescent="0.3">
      <c r="B62">
        <f t="shared" ca="1" si="0"/>
        <v>70.125377077672638</v>
      </c>
    </row>
    <row r="63" spans="2:2" x14ac:dyDescent="0.3">
      <c r="B63">
        <f t="shared" ca="1" si="0"/>
        <v>68.871255910087356</v>
      </c>
    </row>
    <row r="64" spans="2:2" x14ac:dyDescent="0.3">
      <c r="B64">
        <f t="shared" ca="1" si="0"/>
        <v>88.209176282161494</v>
      </c>
    </row>
    <row r="65" spans="2:2" x14ac:dyDescent="0.3">
      <c r="B65">
        <f t="shared" ca="1" si="0"/>
        <v>85.564068378960911</v>
      </c>
    </row>
    <row r="66" spans="2:2" x14ac:dyDescent="0.3">
      <c r="B66">
        <f t="shared" ca="1" si="0"/>
        <v>86.808210631538898</v>
      </c>
    </row>
    <row r="67" spans="2:2" x14ac:dyDescent="0.3">
      <c r="B67">
        <f t="shared" ca="1" si="0"/>
        <v>95.011425968780031</v>
      </c>
    </row>
    <row r="68" spans="2:2" x14ac:dyDescent="0.3">
      <c r="B68">
        <f t="shared" ca="1" si="0"/>
        <v>64.812070328385801</v>
      </c>
    </row>
    <row r="69" spans="2:2" x14ac:dyDescent="0.3">
      <c r="B69">
        <f t="shared" ca="1" si="0"/>
        <v>60.643560808048058</v>
      </c>
    </row>
    <row r="70" spans="2:2" x14ac:dyDescent="0.3">
      <c r="B70">
        <f t="shared" ca="1" si="0"/>
        <v>61.877507441652469</v>
      </c>
    </row>
    <row r="71" spans="2:2" x14ac:dyDescent="0.3">
      <c r="B71">
        <f t="shared" ca="1" si="0"/>
        <v>83.351609302459806</v>
      </c>
    </row>
    <row r="72" spans="2:2" x14ac:dyDescent="0.3">
      <c r="B72">
        <f t="shared" ca="1" si="0"/>
        <v>75.276453309161795</v>
      </c>
    </row>
    <row r="73" spans="2:2" x14ac:dyDescent="0.3">
      <c r="B73">
        <f t="shared" ref="B73:B108" ca="1" si="1">_xlfn.NORM.INV(RAND(),75,10)</f>
        <v>66.007945030306061</v>
      </c>
    </row>
    <row r="74" spans="2:2" x14ac:dyDescent="0.3">
      <c r="B74">
        <f t="shared" ca="1" si="1"/>
        <v>71.380632191127859</v>
      </c>
    </row>
    <row r="75" spans="2:2" x14ac:dyDescent="0.3">
      <c r="B75">
        <f t="shared" ca="1" si="1"/>
        <v>75.555092895088364</v>
      </c>
    </row>
    <row r="76" spans="2:2" x14ac:dyDescent="0.3">
      <c r="B76">
        <f t="shared" ca="1" si="1"/>
        <v>62.640554590177189</v>
      </c>
    </row>
    <row r="77" spans="2:2" x14ac:dyDescent="0.3">
      <c r="B77">
        <f t="shared" ca="1" si="1"/>
        <v>77.238312328562031</v>
      </c>
    </row>
    <row r="78" spans="2:2" x14ac:dyDescent="0.3">
      <c r="B78">
        <f t="shared" ca="1" si="1"/>
        <v>67.861832984894221</v>
      </c>
    </row>
    <row r="79" spans="2:2" x14ac:dyDescent="0.3">
      <c r="B79">
        <f t="shared" ca="1" si="1"/>
        <v>64.479145118654202</v>
      </c>
    </row>
    <row r="80" spans="2:2" x14ac:dyDescent="0.3">
      <c r="B80">
        <f t="shared" ca="1" si="1"/>
        <v>84.400484098468155</v>
      </c>
    </row>
    <row r="81" spans="2:2" x14ac:dyDescent="0.3">
      <c r="B81">
        <f t="shared" ca="1" si="1"/>
        <v>70.117182463040592</v>
      </c>
    </row>
    <row r="82" spans="2:2" x14ac:dyDescent="0.3">
      <c r="B82">
        <f t="shared" ca="1" si="1"/>
        <v>77.541479080744693</v>
      </c>
    </row>
    <row r="83" spans="2:2" x14ac:dyDescent="0.3">
      <c r="B83">
        <f t="shared" ca="1" si="1"/>
        <v>68.737801756679545</v>
      </c>
    </row>
    <row r="84" spans="2:2" x14ac:dyDescent="0.3">
      <c r="B84">
        <f t="shared" ca="1" si="1"/>
        <v>73.208753652094501</v>
      </c>
    </row>
    <row r="85" spans="2:2" x14ac:dyDescent="0.3">
      <c r="B85">
        <f t="shared" ca="1" si="1"/>
        <v>63.832136021074099</v>
      </c>
    </row>
    <row r="86" spans="2:2" x14ac:dyDescent="0.3">
      <c r="B86">
        <f t="shared" ca="1" si="1"/>
        <v>60.508668587628001</v>
      </c>
    </row>
    <row r="87" spans="2:2" x14ac:dyDescent="0.3">
      <c r="B87">
        <f t="shared" ca="1" si="1"/>
        <v>66.88167546757758</v>
      </c>
    </row>
    <row r="88" spans="2:2" x14ac:dyDescent="0.3">
      <c r="B88">
        <f t="shared" ca="1" si="1"/>
        <v>67.499095290431498</v>
      </c>
    </row>
    <row r="89" spans="2:2" x14ac:dyDescent="0.3">
      <c r="B89">
        <f t="shared" ca="1" si="1"/>
        <v>74.909125274540628</v>
      </c>
    </row>
    <row r="90" spans="2:2" x14ac:dyDescent="0.3">
      <c r="B90">
        <f t="shared" ca="1" si="1"/>
        <v>67.764792643152674</v>
      </c>
    </row>
    <row r="91" spans="2:2" x14ac:dyDescent="0.3">
      <c r="B91">
        <f t="shared" ca="1" si="1"/>
        <v>79.059955441748656</v>
      </c>
    </row>
    <row r="92" spans="2:2" x14ac:dyDescent="0.3">
      <c r="B92">
        <f t="shared" ca="1" si="1"/>
        <v>83.637588043084719</v>
      </c>
    </row>
    <row r="93" spans="2:2" x14ac:dyDescent="0.3">
      <c r="B93">
        <f t="shared" ca="1" si="1"/>
        <v>93.295177054105835</v>
      </c>
    </row>
    <row r="94" spans="2:2" x14ac:dyDescent="0.3">
      <c r="B94">
        <f t="shared" ca="1" si="1"/>
        <v>85.939507291016852</v>
      </c>
    </row>
    <row r="95" spans="2:2" x14ac:dyDescent="0.3">
      <c r="B95">
        <f t="shared" ca="1" si="1"/>
        <v>89.027840879887634</v>
      </c>
    </row>
    <row r="96" spans="2:2" x14ac:dyDescent="0.3">
      <c r="B96">
        <f t="shared" ca="1" si="1"/>
        <v>82.766902697587042</v>
      </c>
    </row>
    <row r="97" spans="1:2" x14ac:dyDescent="0.3">
      <c r="B97">
        <f t="shared" ca="1" si="1"/>
        <v>65.421650408020724</v>
      </c>
    </row>
    <row r="98" spans="1:2" x14ac:dyDescent="0.3">
      <c r="B98">
        <f t="shared" ca="1" si="1"/>
        <v>80.127083550996332</v>
      </c>
    </row>
    <row r="99" spans="1:2" x14ac:dyDescent="0.3">
      <c r="B99">
        <f t="shared" ca="1" si="1"/>
        <v>71.544956695143924</v>
      </c>
    </row>
    <row r="100" spans="1:2" x14ac:dyDescent="0.3">
      <c r="B100">
        <f t="shared" ca="1" si="1"/>
        <v>64.231481109584934</v>
      </c>
    </row>
    <row r="101" spans="1:2" x14ac:dyDescent="0.3">
      <c r="B101">
        <f t="shared" ca="1" si="1"/>
        <v>77.995727808701716</v>
      </c>
    </row>
    <row r="102" spans="1:2" x14ac:dyDescent="0.3">
      <c r="B102">
        <f t="shared" ca="1" si="1"/>
        <v>76.272842520913741</v>
      </c>
    </row>
    <row r="103" spans="1:2" x14ac:dyDescent="0.3">
      <c r="B103">
        <f t="shared" ca="1" si="1"/>
        <v>105.91986649587237</v>
      </c>
    </row>
    <row r="104" spans="1:2" x14ac:dyDescent="0.3">
      <c r="B104">
        <f t="shared" ca="1" si="1"/>
        <v>82.365543791243368</v>
      </c>
    </row>
    <row r="105" spans="1:2" x14ac:dyDescent="0.3">
      <c r="B105">
        <f t="shared" ca="1" si="1"/>
        <v>74.753426243268819</v>
      </c>
    </row>
    <row r="106" spans="1:2" x14ac:dyDescent="0.3">
      <c r="B106">
        <f t="shared" ca="1" si="1"/>
        <v>65.782772912937745</v>
      </c>
    </row>
    <row r="107" spans="1:2" x14ac:dyDescent="0.3">
      <c r="B107">
        <f t="shared" ca="1" si="1"/>
        <v>63.631361915050732</v>
      </c>
    </row>
    <row r="109" spans="1:2" x14ac:dyDescent="0.3">
      <c r="A109" s="1" t="s">
        <v>6</v>
      </c>
    </row>
    <row r="110" spans="1:2" x14ac:dyDescent="0.3">
      <c r="A110" s="1" t="s">
        <v>1</v>
      </c>
      <c r="B110">
        <f>_xlfn.NORM.DIST(2,2.5,0.5,TRUE)</f>
        <v>0.15865525393145699</v>
      </c>
    </row>
    <row r="111" spans="1:2" x14ac:dyDescent="0.3">
      <c r="A111" s="1" t="s">
        <v>2</v>
      </c>
      <c r="B111">
        <f>_xlfn.NORM.INV(0.95,2.5,0.5)</f>
        <v>3.3224268134757358</v>
      </c>
    </row>
    <row r="112" spans="1:2" x14ac:dyDescent="0.3">
      <c r="A112" s="1" t="s">
        <v>3</v>
      </c>
      <c r="B112">
        <f>1-_xlfn.NORM.DIST(3.5,2.5,0.5,TRUE)</f>
        <v>2.2750131948179209E-2</v>
      </c>
    </row>
    <row r="114" spans="1:3" x14ac:dyDescent="0.3">
      <c r="A114" s="1" t="s">
        <v>7</v>
      </c>
    </row>
    <row r="115" spans="1:3" x14ac:dyDescent="0.3">
      <c r="A115" s="1" t="s">
        <v>1</v>
      </c>
      <c r="B115" t="s">
        <v>9</v>
      </c>
      <c r="C115" t="s">
        <v>8</v>
      </c>
    </row>
    <row r="116" spans="1:3" x14ac:dyDescent="0.3">
      <c r="B116">
        <v>30</v>
      </c>
      <c r="C116">
        <f>_xlfn.NORM.DIST(B116,50,5,FALSE)</f>
        <v>2.6766045152977071E-5</v>
      </c>
    </row>
    <row r="117" spans="1:3" x14ac:dyDescent="0.3">
      <c r="B117">
        <v>32</v>
      </c>
      <c r="C117">
        <f t="shared" ref="C117:C136" si="2">_xlfn.NORM.DIST(B117,50,5,FALSE)</f>
        <v>1.2238038602275437E-4</v>
      </c>
    </row>
    <row r="118" spans="1:3" x14ac:dyDescent="0.3">
      <c r="B118">
        <v>34</v>
      </c>
      <c r="C118">
        <f t="shared" si="2"/>
        <v>4.768176402929681E-4</v>
      </c>
    </row>
    <row r="119" spans="1:3" x14ac:dyDescent="0.3">
      <c r="B119">
        <v>36</v>
      </c>
      <c r="C119">
        <f t="shared" si="2"/>
        <v>1.5830903165959939E-3</v>
      </c>
    </row>
    <row r="120" spans="1:3" x14ac:dyDescent="0.3">
      <c r="B120">
        <v>38</v>
      </c>
      <c r="C120">
        <f t="shared" si="2"/>
        <v>4.4789060589685804E-3</v>
      </c>
    </row>
    <row r="121" spans="1:3" x14ac:dyDescent="0.3">
      <c r="B121">
        <v>40</v>
      </c>
      <c r="C121">
        <f t="shared" si="2"/>
        <v>1.0798193302637612E-2</v>
      </c>
    </row>
    <row r="122" spans="1:3" x14ac:dyDescent="0.3">
      <c r="B122">
        <v>42</v>
      </c>
      <c r="C122">
        <f t="shared" si="2"/>
        <v>2.2184166935891109E-2</v>
      </c>
    </row>
    <row r="123" spans="1:3" x14ac:dyDescent="0.3">
      <c r="B123">
        <v>44</v>
      </c>
      <c r="C123">
        <f t="shared" si="2"/>
        <v>3.8837210996642592E-2</v>
      </c>
    </row>
    <row r="124" spans="1:3" x14ac:dyDescent="0.3">
      <c r="B124">
        <v>46</v>
      </c>
      <c r="C124">
        <f t="shared" si="2"/>
        <v>5.7938310552296549E-2</v>
      </c>
    </row>
    <row r="125" spans="1:3" x14ac:dyDescent="0.3">
      <c r="B125">
        <v>48</v>
      </c>
      <c r="C125">
        <f t="shared" si="2"/>
        <v>7.3654028060664664E-2</v>
      </c>
    </row>
    <row r="126" spans="1:3" x14ac:dyDescent="0.3">
      <c r="B126">
        <v>50</v>
      </c>
      <c r="C126">
        <f t="shared" si="2"/>
        <v>7.9788456080286549E-2</v>
      </c>
    </row>
    <row r="127" spans="1:3" x14ac:dyDescent="0.3">
      <c r="B127">
        <v>52</v>
      </c>
      <c r="C127">
        <f t="shared" si="2"/>
        <v>7.3654028060664664E-2</v>
      </c>
    </row>
    <row r="128" spans="1:3" x14ac:dyDescent="0.3">
      <c r="B128">
        <v>54</v>
      </c>
      <c r="C128">
        <f t="shared" si="2"/>
        <v>5.7938310552296549E-2</v>
      </c>
    </row>
    <row r="129" spans="1:3" x14ac:dyDescent="0.3">
      <c r="B129">
        <v>56</v>
      </c>
      <c r="C129">
        <f t="shared" si="2"/>
        <v>3.8837210996642592E-2</v>
      </c>
    </row>
    <row r="130" spans="1:3" x14ac:dyDescent="0.3">
      <c r="B130">
        <v>58</v>
      </c>
      <c r="C130">
        <f t="shared" si="2"/>
        <v>2.2184166935891109E-2</v>
      </c>
    </row>
    <row r="131" spans="1:3" x14ac:dyDescent="0.3">
      <c r="B131">
        <v>60</v>
      </c>
      <c r="C131">
        <f t="shared" si="2"/>
        <v>1.0798193302637612E-2</v>
      </c>
    </row>
    <row r="132" spans="1:3" x14ac:dyDescent="0.3">
      <c r="B132">
        <v>62</v>
      </c>
      <c r="C132">
        <f t="shared" si="2"/>
        <v>4.4789060589685804E-3</v>
      </c>
    </row>
    <row r="133" spans="1:3" x14ac:dyDescent="0.3">
      <c r="B133">
        <v>64</v>
      </c>
      <c r="C133">
        <f t="shared" si="2"/>
        <v>1.5830903165959939E-3</v>
      </c>
    </row>
    <row r="134" spans="1:3" x14ac:dyDescent="0.3">
      <c r="B134">
        <v>66</v>
      </c>
      <c r="C134">
        <f t="shared" si="2"/>
        <v>4.768176402929681E-4</v>
      </c>
    </row>
    <row r="135" spans="1:3" x14ac:dyDescent="0.3">
      <c r="B135">
        <v>68</v>
      </c>
      <c r="C135">
        <f t="shared" si="2"/>
        <v>1.2238038602275437E-4</v>
      </c>
    </row>
    <row r="136" spans="1:3" x14ac:dyDescent="0.3">
      <c r="B136">
        <v>70</v>
      </c>
      <c r="C136">
        <f t="shared" si="2"/>
        <v>2.6766045152977071E-5</v>
      </c>
    </row>
    <row r="138" spans="1:3" x14ac:dyDescent="0.3">
      <c r="A138" s="1" t="s">
        <v>2</v>
      </c>
      <c r="B138" t="s">
        <v>10</v>
      </c>
    </row>
    <row r="140" spans="1:3" x14ac:dyDescent="0.3">
      <c r="A140" s="1" t="s">
        <v>3</v>
      </c>
      <c r="B140" t="s">
        <v>11</v>
      </c>
    </row>
    <row r="142" spans="1:3" x14ac:dyDescent="0.3">
      <c r="A142" t="s">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Omar Zahid</dc:creator>
  <cp:lastModifiedBy>Muhammad Omar Zahid</cp:lastModifiedBy>
  <dcterms:created xsi:type="dcterms:W3CDTF">2026-05-21T17:52:49Z</dcterms:created>
  <dcterms:modified xsi:type="dcterms:W3CDTF">2026-05-21T18:24:51Z</dcterms:modified>
</cp:coreProperties>
</file>