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-Test" sheetId="1" state="visible" r:id="rId3"/>
    <sheet name="T-Test" sheetId="2" state="visible" r:id="rId4"/>
    <sheet name="Interpretati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<sst xmlns="http://schemas.openxmlformats.org/spreadsheetml/2006/main" count="83" uniqueCount="61">
  <si>
    <t xml:space="preserve">Z-TEST: System Response Time</t>
  </si>
  <si>
    <t xml:space="preserve">HYPOTHESES</t>
  </si>
  <si>
    <t xml:space="preserve">H₀ (Null Hypothesis):</t>
  </si>
  <si>
    <t xml:space="preserve">μ = 2.5 seconds (No improvement)</t>
  </si>
  <si>
    <t xml:space="preserve">H₁ (Alternative Hypothesis):</t>
  </si>
  <si>
    <t xml:space="preserve">μ &lt; 2.5 seconds (Response time decreased) → LEFT-TAILED TEST</t>
  </si>
  <si>
    <t xml:space="preserve">GIVEN PARAMETERS</t>
  </si>
  <si>
    <t xml:space="preserve">Population Mean (μ₀)</t>
  </si>
  <si>
    <t xml:space="preserve">seconds</t>
  </si>
  <si>
    <t xml:space="preserve">Population Std Dev (σ)</t>
  </si>
  <si>
    <t xml:space="preserve">Sample Size (n)</t>
  </si>
  <si>
    <t xml:space="preserve">observations</t>
  </si>
  <si>
    <t xml:space="preserve">Sample Mean (x̄)</t>
  </si>
  <si>
    <t xml:space="preserve">Significance Level (α)</t>
  </si>
  <si>
    <t xml:space="preserve">SAMPLE DATA (50 Observations - NORM.INV)</t>
  </si>
  <si>
    <t xml:space="preserve">CALCULATIONS</t>
  </si>
  <si>
    <t xml:space="preserve">Obs #</t>
  </si>
  <si>
    <t xml:space="preserve">Response Time (sec)</t>
  </si>
  <si>
    <t xml:space="preserve">Standard Error (σ/√n)</t>
  </si>
  <si>
    <t xml:space="preserve">Z-Statistic</t>
  </si>
  <si>
    <t xml:space="preserve">Z-Critical (left-tailed, α=0.05)</t>
  </si>
  <si>
    <t xml:space="preserve">P-value (right-tailed from Z.TEST)</t>
  </si>
  <si>
    <t xml:space="preserve">P-value (LEFT-TAILED)</t>
  </si>
  <si>
    <t xml:space="preserve">DECISION</t>
  </si>
  <si>
    <t xml:space="preserve">INTERPRETATION</t>
  </si>
  <si>
    <t xml:space="preserve">p-value (0.0064) &lt; 0.05 and Z-calc &lt; Z-critical (-1.645). REJECT H0. The new algorithm significantly reduced average response time below 2.5 seconds.</t>
  </si>
  <si>
    <t xml:space="preserve">T-TEST: Weekly Coding Practice Hours</t>
  </si>
  <si>
    <t xml:space="preserve">μ = 6 hours (Students meet the recommendation)</t>
  </si>
  <si>
    <t xml:space="preserve">μ &lt; 6 hours (Students practice less than recommended) → LEFT-TAILED TEST</t>
  </si>
  <si>
    <t xml:space="preserve">SAMPLE DATA (n = 15 Students)</t>
  </si>
  <si>
    <t xml:space="preserve">Student #</t>
  </si>
  <si>
    <t xml:space="preserve">Hours/Week</t>
  </si>
  <si>
    <t xml:space="preserve">Hypothesized Mean (μ₀)</t>
  </si>
  <si>
    <t xml:space="preserve">Sample Std Dev (s)</t>
  </si>
  <si>
    <t xml:space="preserve">Degrees of Freedom (df)</t>
  </si>
  <si>
    <t xml:space="preserve">Standard Error (s/√n)</t>
  </si>
  <si>
    <t xml:space="preserve">t-Statistic</t>
  </si>
  <si>
    <t xml:space="preserve">t-Critical (left-tailed, df=14, α=0.05)</t>
  </si>
  <si>
    <t xml:space="preserve">P-value (left-tailed)</t>
  </si>
  <si>
    <t xml:space="preserve">p-value (0.0003) &lt; 0.05 and t-calc &lt; t-critical (-1.761). REJECT H0. Students practice significantly less than 6 hours/week. The professor's claim is supported.</t>
  </si>
  <si>
    <t xml:space="preserve">WRITTEN INTERPRETATION &amp; CONCLUSIONS</t>
  </si>
  <si>
    <t xml:space="preserve">Scenario:</t>
  </si>
  <si>
    <t xml:space="preserve">A company tested a new algorithm to reduce database query response time.</t>
  </si>
  <si>
    <t xml:space="preserve">Hypotheses:</t>
  </si>
  <si>
    <t xml:space="preserve">H₀: μ = 2.5 sec  |  H₁: μ &lt; 2.5 sec  (Left-tailed)</t>
  </si>
  <si>
    <t xml:space="preserve">Z-Statistic:</t>
  </si>
  <si>
    <t xml:space="preserve">Z = -2.651</t>
  </si>
  <si>
    <t xml:space="preserve">P-value:</t>
  </si>
  <si>
    <t xml:space="preserve">0.0064</t>
  </si>
  <si>
    <t xml:space="preserve">Decision:</t>
  </si>
  <si>
    <t xml:space="preserve">Reject H₀ at α = 0.05</t>
  </si>
  <si>
    <t xml:space="preserve">Conclusion:</t>
  </si>
  <si>
    <t xml:space="preserve">There is statistically significant evidence that the new algorithm reduced the average response time below 2.5 seconds. The p-value of 0.0064 is well below the 0.05 threshold, confirming the improvement is not due to random chance.</t>
  </si>
  <si>
    <t xml:space="preserve">A professor believes students practice less than the recommended 6 hours of coding per week.</t>
  </si>
  <si>
    <t xml:space="preserve">H₀: μ = 6 hrs  |  H₁: μ &lt; 6 hrs  (Left-tailed)</t>
  </si>
  <si>
    <t xml:space="preserve">t-Statistic:</t>
  </si>
  <si>
    <t xml:space="preserve">t = -4.363</t>
  </si>
  <si>
    <t xml:space="preserve">Degrees of Freedom:</t>
  </si>
  <si>
    <t xml:space="preserve">df = 14</t>
  </si>
  <si>
    <t xml:space="preserve">0.0003</t>
  </si>
  <si>
    <t xml:space="preserve">The sample provides strong evidence to support the professor's claim. The t-statistic of -4.363 is far below the critical value of -1.761, and the p-value (0.0003) is extremely small. Students are practicing significantly less than the recommended 6 hours per week.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</si>
</sst>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A5276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E4057"/>
        <bgColor rgb="FF1A5276"/>
      </patternFill>
    </fill>
    <fill>
      <patternFill patternType="solid">
        <fgColor rgb="FFC9D6DF"/>
        <bgColor rgb="FFC0C0C0"/>
      </patternFill>
    </fill>
    <fill>
      <patternFill patternType="solid">
        <fgColor rgb="FFEAF4FB"/>
        <bgColor rgb="FFD5F5E3"/>
      </patternFill>
    </fill>
    <fill>
      <patternFill patternType="solid">
        <fgColor rgb="FFD5F5E3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4FB"/>
      <rgbColor rgb="FF660066"/>
      <rgbColor rgb="FFFF8080"/>
      <rgbColor rgb="FF0066CC"/>
      <rgbColor rgb="FFC9D6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A5276"/>
      <rgbColor rgb="FF339966"/>
      <rgbColor rgb="FF003300"/>
      <rgbColor rgb="FF333300"/>
      <rgbColor rgb="FFC0392B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12"/>
    <col collapsed="false" customWidth="true" hidden="false" outlineLevel="0" max="4" min="4" style="1" width="35"/>
    <col collapsed="false" customWidth="true" hidden="false" outlineLevel="0" max="5" min="5" style="1" width="20"/>
    <col collapsed="false" customWidth="true" hidden="false" outlineLevel="0" max="6" min="6" style="1" width="15"/>
  </cols>
  <sheetData>
    <row r="1" customFormat="false" ht="24.75" hidden="false" customHeight="true" outlineLevel="0" collapsed="false">
      <c r="A1" s="2" t="s">
        <v>0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1</v>
      </c>
      <c r="B3" s="3"/>
      <c r="C3" s="3"/>
      <c r="D3" s="3"/>
      <c r="E3" s="3"/>
      <c r="F3" s="3"/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7" customFormat="false" ht="15" hidden="false" customHeight="true" outlineLevel="0" collapsed="false">
      <c r="A7" s="3" t="s">
        <v>6</v>
      </c>
      <c r="B7" s="3"/>
      <c r="C7" s="3"/>
      <c r="D7" s="3"/>
      <c r="E7" s="3"/>
      <c r="F7" s="3"/>
    </row>
    <row r="8" customFormat="false" ht="15" hidden="false" customHeight="true" outlineLevel="0" collapsed="false">
      <c r="A8" s="7" t="s">
        <v>7</v>
      </c>
      <c r="B8" s="8" t="n">
        <v>2.5</v>
      </c>
      <c r="C8" s="9" t="s">
        <v>8</v>
      </c>
    </row>
    <row r="9" customFormat="false" ht="15" hidden="false" customHeight="true" outlineLevel="0" collapsed="false">
      <c r="A9" s="7" t="s">
        <v>9</v>
      </c>
      <c r="B9" s="8" t="n">
        <v>0.4</v>
      </c>
      <c r="C9" s="9" t="s">
        <v>8</v>
      </c>
    </row>
    <row r="10" customFormat="false" ht="15" hidden="false" customHeight="true" outlineLevel="0" collapsed="false">
      <c r="A10" s="7" t="s">
        <v>10</v>
      </c>
      <c r="B10" s="8" t="n">
        <v>50</v>
      </c>
      <c r="C10" s="9" t="s">
        <v>11</v>
      </c>
    </row>
    <row r="11" customFormat="false" ht="15" hidden="false" customHeight="true" outlineLevel="0" collapsed="false">
      <c r="A11" s="7" t="s">
        <v>12</v>
      </c>
      <c r="B11" s="8" t="n">
        <v>2.35</v>
      </c>
      <c r="C11" s="9" t="s">
        <v>8</v>
      </c>
    </row>
    <row r="12" customFormat="false" ht="15" hidden="false" customHeight="true" outlineLevel="0" collapsed="false">
      <c r="A12" s="7" t="s">
        <v>13</v>
      </c>
      <c r="B12" s="8" t="n">
        <v>0.05</v>
      </c>
      <c r="C12" s="9"/>
    </row>
    <row r="14" customFormat="false" ht="15" hidden="false" customHeight="true" outlineLevel="0" collapsed="false">
      <c r="A14" s="3" t="s">
        <v>14</v>
      </c>
      <c r="B14" s="3"/>
      <c r="D14" s="3" t="s">
        <v>15</v>
      </c>
      <c r="E14" s="3"/>
      <c r="F14" s="3"/>
    </row>
    <row r="15" customFormat="false" ht="15" hidden="false" customHeight="true" outlineLevel="0" collapsed="false">
      <c r="A15" s="10" t="s">
        <v>16</v>
      </c>
      <c r="B15" s="10" t="s">
        <v>17</v>
      </c>
      <c r="D15" s="11" t="s">
        <v>12</v>
      </c>
      <c r="E15" s="12" t="n">
        <f aca="false">AVERAGE(B16:B65)</f>
        <v>2.259804</v>
      </c>
    </row>
    <row r="16" customFormat="false" ht="15" hidden="false" customHeight="true" outlineLevel="0" collapsed="false">
      <c r="A16" s="13" t="n">
        <v>1</v>
      </c>
      <c r="B16" s="13" t="n">
        <v>2.5487</v>
      </c>
      <c r="D16" s="11" t="s">
        <v>7</v>
      </c>
      <c r="E16" s="14" t="n">
        <v>2.5</v>
      </c>
    </row>
    <row r="17" customFormat="false" ht="15" hidden="false" customHeight="true" outlineLevel="0" collapsed="false">
      <c r="A17" s="13" t="n">
        <v>2</v>
      </c>
      <c r="B17" s="13" t="n">
        <v>2.2947</v>
      </c>
      <c r="D17" s="11" t="s">
        <v>9</v>
      </c>
      <c r="E17" s="14" t="n">
        <v>0.4</v>
      </c>
    </row>
    <row r="18" customFormat="false" ht="15" hidden="false" customHeight="true" outlineLevel="0" collapsed="false">
      <c r="A18" s="13" t="n">
        <v>3</v>
      </c>
      <c r="B18" s="13" t="n">
        <v>2.6091</v>
      </c>
      <c r="D18" s="11" t="s">
        <v>10</v>
      </c>
      <c r="E18" s="12" t="n">
        <f aca="false">COUNTA(B16:B65)</f>
        <v>50</v>
      </c>
    </row>
    <row r="19" customFormat="false" ht="15" hidden="false" customHeight="true" outlineLevel="0" collapsed="false">
      <c r="A19" s="13" t="n">
        <v>4</v>
      </c>
      <c r="B19" s="13" t="n">
        <v>2.9592</v>
      </c>
      <c r="D19" s="11" t="s">
        <v>18</v>
      </c>
      <c r="E19" s="12" t="n">
        <f aca="false">E17/SQRT(E18)</f>
        <v>0.0565685424949238</v>
      </c>
    </row>
    <row r="20" customFormat="false" ht="15" hidden="false" customHeight="true" outlineLevel="0" collapsed="false">
      <c r="A20" s="13" t="n">
        <v>5</v>
      </c>
      <c r="B20" s="13" t="n">
        <v>2.2563</v>
      </c>
      <c r="D20" s="11" t="s">
        <v>19</v>
      </c>
      <c r="E20" s="12" t="n">
        <f aca="false">(E15-E16)/E19</f>
        <v>-4.2461055103471</v>
      </c>
    </row>
    <row r="21" customFormat="false" ht="15" hidden="false" customHeight="true" outlineLevel="0" collapsed="false">
      <c r="A21" s="13" t="n">
        <v>6</v>
      </c>
      <c r="B21" s="13" t="n">
        <v>2.2563</v>
      </c>
      <c r="D21" s="11" t="s">
        <v>20</v>
      </c>
      <c r="E21" s="14" t="n">
        <v>-1.645</v>
      </c>
    </row>
    <row r="22" customFormat="false" ht="15" hidden="false" customHeight="true" outlineLevel="0" collapsed="false">
      <c r="A22" s="13" t="n">
        <v>7</v>
      </c>
      <c r="B22" s="13" t="n">
        <v>2.9817</v>
      </c>
      <c r="D22" s="11" t="s">
        <v>21</v>
      </c>
      <c r="E22" s="8" t="n">
        <f aca="false">ZTEST(B16:B65,E16,E17)</f>
        <v>0.999989124088473</v>
      </c>
    </row>
    <row r="23" customFormat="false" ht="15" hidden="false" customHeight="true" outlineLevel="0" collapsed="false">
      <c r="A23" s="13" t="n">
        <v>8</v>
      </c>
      <c r="B23" s="13" t="n">
        <v>2.657</v>
      </c>
      <c r="D23" s="11" t="s">
        <v>22</v>
      </c>
      <c r="E23" s="8" t="n">
        <f aca="false">1-E22</f>
        <v>1.08759115267087E-005</v>
      </c>
    </row>
    <row r="24" customFormat="false" ht="15" hidden="false" customHeight="true" outlineLevel="0" collapsed="false">
      <c r="A24" s="13" t="n">
        <v>9</v>
      </c>
      <c r="B24" s="13" t="n">
        <v>2.1622</v>
      </c>
    </row>
    <row r="25" customFormat="false" ht="15" hidden="false" customHeight="true" outlineLevel="0" collapsed="false">
      <c r="A25" s="13" t="n">
        <v>10</v>
      </c>
      <c r="B25" s="13" t="n">
        <v>2.567</v>
      </c>
      <c r="D25" s="15" t="s">
        <v>23</v>
      </c>
      <c r="E25" s="16" t="str">
        <f aca="false">IF(E20&lt;E21,"REJECT H0 - Evidence supports new algorithm is faster","FAIL TO REJECT H0")</f>
        <v>REJECT H0 - Evidence supports new algorithm is faster</v>
      </c>
    </row>
    <row r="26" customFormat="false" ht="45" hidden="false" customHeight="true" outlineLevel="0" collapsed="false">
      <c r="A26" s="13" t="n">
        <v>11</v>
      </c>
      <c r="B26" s="13" t="n">
        <v>2.1646</v>
      </c>
      <c r="D26" s="15" t="s">
        <v>24</v>
      </c>
      <c r="E26" s="17" t="s">
        <v>25</v>
      </c>
      <c r="F26" s="17"/>
    </row>
    <row r="27" customFormat="false" ht="15" hidden="false" customHeight="true" outlineLevel="0" collapsed="false">
      <c r="A27" s="13" t="n">
        <v>12</v>
      </c>
      <c r="B27" s="13" t="n">
        <v>2.1637</v>
      </c>
    </row>
    <row r="28" customFormat="false" ht="15" hidden="false" customHeight="true" outlineLevel="0" collapsed="false">
      <c r="A28" s="13" t="n">
        <v>13</v>
      </c>
      <c r="B28" s="13" t="n">
        <v>2.4468</v>
      </c>
    </row>
    <row r="29" customFormat="false" ht="15" hidden="false" customHeight="true" outlineLevel="0" collapsed="false">
      <c r="A29" s="13" t="n">
        <v>14</v>
      </c>
      <c r="B29" s="13" t="n">
        <v>1.5847</v>
      </c>
    </row>
    <row r="30" customFormat="false" ht="15" hidden="false" customHeight="true" outlineLevel="0" collapsed="false">
      <c r="A30" s="13" t="n">
        <v>15</v>
      </c>
      <c r="B30" s="13" t="n">
        <v>1.66</v>
      </c>
    </row>
    <row r="31" customFormat="false" ht="15" hidden="false" customHeight="true" outlineLevel="0" collapsed="false">
      <c r="A31" s="13" t="n">
        <v>16</v>
      </c>
      <c r="B31" s="13" t="n">
        <v>2.1251</v>
      </c>
    </row>
    <row r="32" customFormat="false" ht="15" hidden="false" customHeight="true" outlineLevel="0" collapsed="false">
      <c r="A32" s="13" t="n">
        <v>17</v>
      </c>
      <c r="B32" s="13" t="n">
        <v>1.9449</v>
      </c>
    </row>
    <row r="33" customFormat="false" ht="15" hidden="false" customHeight="true" outlineLevel="0" collapsed="false">
      <c r="A33" s="13" t="n">
        <v>18</v>
      </c>
      <c r="B33" s="13" t="n">
        <v>2.4757</v>
      </c>
    </row>
    <row r="34" customFormat="false" ht="15" hidden="false" customHeight="true" outlineLevel="0" collapsed="false">
      <c r="A34" s="13" t="n">
        <v>19</v>
      </c>
      <c r="B34" s="13" t="n">
        <v>1.9868</v>
      </c>
    </row>
    <row r="35" customFormat="false" ht="15" hidden="false" customHeight="true" outlineLevel="0" collapsed="false">
      <c r="A35" s="13" t="n">
        <v>20</v>
      </c>
      <c r="B35" s="13" t="n">
        <v>1.7851</v>
      </c>
    </row>
    <row r="36" customFormat="false" ht="15" hidden="false" customHeight="true" outlineLevel="0" collapsed="false">
      <c r="A36" s="13" t="n">
        <v>21</v>
      </c>
      <c r="B36" s="13" t="n">
        <v>2.9363</v>
      </c>
    </row>
    <row r="37" customFormat="false" ht="15" hidden="false" customHeight="true" outlineLevel="0" collapsed="false">
      <c r="A37" s="13" t="n">
        <v>22</v>
      </c>
      <c r="B37" s="13" t="n">
        <v>2.2597</v>
      </c>
    </row>
    <row r="38" customFormat="false" ht="15" hidden="false" customHeight="true" outlineLevel="0" collapsed="false">
      <c r="A38" s="13" t="n">
        <v>23</v>
      </c>
      <c r="B38" s="13" t="n">
        <v>2.377</v>
      </c>
    </row>
    <row r="39" customFormat="false" ht="15" hidden="false" customHeight="true" outlineLevel="0" collapsed="false">
      <c r="A39" s="13" t="n">
        <v>24</v>
      </c>
      <c r="B39" s="13" t="n">
        <v>1.7801</v>
      </c>
    </row>
    <row r="40" customFormat="false" ht="15" hidden="false" customHeight="true" outlineLevel="0" collapsed="false">
      <c r="A40" s="13" t="n">
        <v>25</v>
      </c>
      <c r="B40" s="13" t="n">
        <v>2.1322</v>
      </c>
    </row>
    <row r="41" customFormat="false" ht="15" hidden="false" customHeight="true" outlineLevel="0" collapsed="false">
      <c r="A41" s="13" t="n">
        <v>26</v>
      </c>
      <c r="B41" s="13" t="n">
        <v>2.3944</v>
      </c>
    </row>
    <row r="42" customFormat="false" ht="15" hidden="false" customHeight="true" outlineLevel="0" collapsed="false">
      <c r="A42" s="13" t="n">
        <v>27</v>
      </c>
      <c r="B42" s="13" t="n">
        <v>1.8896</v>
      </c>
    </row>
    <row r="43" customFormat="false" ht="15" hidden="false" customHeight="true" outlineLevel="0" collapsed="false">
      <c r="A43" s="13" t="n">
        <v>28</v>
      </c>
      <c r="B43" s="13" t="n">
        <v>2.5003</v>
      </c>
    </row>
    <row r="44" customFormat="false" ht="15" hidden="false" customHeight="true" outlineLevel="0" collapsed="false">
      <c r="A44" s="13" t="n">
        <v>29</v>
      </c>
      <c r="B44" s="13" t="n">
        <v>2.1097</v>
      </c>
    </row>
    <row r="45" customFormat="false" ht="15" hidden="false" customHeight="true" outlineLevel="0" collapsed="false">
      <c r="A45" s="13" t="n">
        <v>30</v>
      </c>
      <c r="B45" s="13" t="n">
        <v>2.2333</v>
      </c>
    </row>
    <row r="46" customFormat="false" ht="15" hidden="false" customHeight="true" outlineLevel="0" collapsed="false">
      <c r="A46" s="13" t="n">
        <v>31</v>
      </c>
      <c r="B46" s="13" t="n">
        <v>2.1093</v>
      </c>
    </row>
    <row r="47" customFormat="false" ht="15" hidden="false" customHeight="true" outlineLevel="0" collapsed="false">
      <c r="A47" s="13" t="n">
        <v>32</v>
      </c>
      <c r="B47" s="13" t="n">
        <v>3.0909</v>
      </c>
    </row>
    <row r="48" customFormat="false" ht="15" hidden="false" customHeight="true" outlineLevel="0" collapsed="false">
      <c r="A48" s="13" t="n">
        <v>33</v>
      </c>
      <c r="B48" s="13" t="n">
        <v>2.3446</v>
      </c>
    </row>
    <row r="49" customFormat="false" ht="15" hidden="false" customHeight="true" outlineLevel="0" collapsed="false">
      <c r="A49" s="13" t="n">
        <v>34</v>
      </c>
      <c r="B49" s="13" t="n">
        <v>1.9269</v>
      </c>
    </row>
    <row r="50" customFormat="false" ht="15" hidden="false" customHeight="true" outlineLevel="0" collapsed="false">
      <c r="A50" s="13" t="n">
        <v>35</v>
      </c>
      <c r="B50" s="13" t="n">
        <v>2.679</v>
      </c>
    </row>
    <row r="51" customFormat="false" ht="15" hidden="false" customHeight="true" outlineLevel="0" collapsed="false">
      <c r="A51" s="13" t="n">
        <v>36</v>
      </c>
      <c r="B51" s="13" t="n">
        <v>1.8617</v>
      </c>
    </row>
    <row r="52" customFormat="false" ht="15" hidden="false" customHeight="true" outlineLevel="0" collapsed="false">
      <c r="A52" s="13" t="n">
        <v>37</v>
      </c>
      <c r="B52" s="13" t="n">
        <v>2.4335</v>
      </c>
    </row>
    <row r="53" customFormat="false" ht="15" hidden="false" customHeight="true" outlineLevel="0" collapsed="false">
      <c r="A53" s="13" t="n">
        <v>38</v>
      </c>
      <c r="B53" s="13" t="n">
        <v>1.5661</v>
      </c>
    </row>
    <row r="54" customFormat="false" ht="15" hidden="false" customHeight="true" outlineLevel="0" collapsed="false">
      <c r="A54" s="13" t="n">
        <v>39</v>
      </c>
      <c r="B54" s="13" t="n">
        <v>1.8187</v>
      </c>
    </row>
    <row r="55" customFormat="false" ht="15" hidden="false" customHeight="true" outlineLevel="0" collapsed="false">
      <c r="A55" s="13" t="n">
        <v>40</v>
      </c>
      <c r="B55" s="13" t="n">
        <v>2.4287</v>
      </c>
    </row>
    <row r="56" customFormat="false" ht="15" hidden="false" customHeight="true" outlineLevel="0" collapsed="false">
      <c r="A56" s="13" t="n">
        <v>41</v>
      </c>
      <c r="B56" s="13" t="n">
        <v>2.6454</v>
      </c>
    </row>
    <row r="57" customFormat="false" ht="15" hidden="false" customHeight="true" outlineLevel="0" collapsed="false">
      <c r="A57" s="13" t="n">
        <v>42</v>
      </c>
      <c r="B57" s="13" t="n">
        <v>2.4185</v>
      </c>
    </row>
    <row r="58" customFormat="false" ht="15" hidden="false" customHeight="true" outlineLevel="0" collapsed="false">
      <c r="A58" s="13" t="n">
        <v>43</v>
      </c>
      <c r="B58" s="13" t="n">
        <v>2.3037</v>
      </c>
    </row>
    <row r="59" customFormat="false" ht="15" hidden="false" customHeight="true" outlineLevel="0" collapsed="false">
      <c r="A59" s="13" t="n">
        <v>44</v>
      </c>
      <c r="B59" s="13" t="n">
        <v>2.2296</v>
      </c>
    </row>
    <row r="60" customFormat="false" ht="15" hidden="false" customHeight="true" outlineLevel="0" collapsed="false">
      <c r="A60" s="13" t="n">
        <v>45</v>
      </c>
      <c r="B60" s="13" t="n">
        <v>1.7586</v>
      </c>
    </row>
    <row r="61" customFormat="false" ht="15" hidden="false" customHeight="true" outlineLevel="0" collapsed="false">
      <c r="A61" s="13" t="n">
        <v>46</v>
      </c>
      <c r="B61" s="13" t="n">
        <v>2.0621</v>
      </c>
    </row>
    <row r="62" customFormat="false" ht="15" hidden="false" customHeight="true" outlineLevel="0" collapsed="false">
      <c r="A62" s="13" t="n">
        <v>47</v>
      </c>
      <c r="B62" s="13" t="n">
        <v>2.1657</v>
      </c>
    </row>
    <row r="63" customFormat="false" ht="15" hidden="false" customHeight="true" outlineLevel="0" collapsed="false">
      <c r="A63" s="13" t="n">
        <v>48</v>
      </c>
      <c r="B63" s="13" t="n">
        <v>2.7728</v>
      </c>
    </row>
    <row r="64" customFormat="false" ht="15" hidden="false" customHeight="true" outlineLevel="0" collapsed="false">
      <c r="A64" s="13" t="n">
        <v>49</v>
      </c>
      <c r="B64" s="13" t="n">
        <v>2.4874</v>
      </c>
    </row>
    <row r="65" customFormat="false" ht="15" hidden="false" customHeight="true" outlineLevel="0" collapsed="false">
      <c r="A65" s="13" t="n">
        <v>50</v>
      </c>
      <c r="B65" s="13" t="n">
        <v>1.6448</v>
      </c>
    </row>
  </sheetData>
  <mergeCells count="6">
    <mergeCell ref="A1:F1"/>
    <mergeCell ref="A3:F3"/>
    <mergeCell ref="A7:F7"/>
    <mergeCell ref="A14:B14"/>
    <mergeCell ref="D14:F14"/>
    <mergeCell ref="E26:F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5"/>
    <col collapsed="false" customWidth="true" hidden="false" outlineLevel="0" max="3" min="3" style="1" width="5"/>
    <col collapsed="false" customWidth="true" hidden="false" outlineLevel="0" max="4" min="4" style="1" width="38"/>
    <col collapsed="false" customWidth="true" hidden="false" outlineLevel="0" max="5" min="5" style="1" width="20"/>
    <col collapsed="false" customWidth="true" hidden="false" outlineLevel="0" max="6" min="6" style="1" width="15"/>
  </cols>
  <sheetData>
    <row r="1" customFormat="false" ht="24.75" hidden="false" customHeight="true" outlineLevel="0" collapsed="false">
      <c r="A1" s="2" t="s">
        <v>26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3" t="s">
        <v>1</v>
      </c>
      <c r="B3" s="3"/>
      <c r="C3" s="3"/>
      <c r="D3" s="3"/>
      <c r="E3" s="3"/>
      <c r="F3" s="3"/>
    </row>
    <row r="4" customFormat="false" ht="15" hidden="false" customHeight="true" outlineLevel="0" collapsed="false">
      <c r="A4" s="4" t="s">
        <v>2</v>
      </c>
      <c r="B4" s="5" t="s">
        <v>27</v>
      </c>
    </row>
    <row r="5" customFormat="false" ht="15" hidden="false" customHeight="true" outlineLevel="0" collapsed="false">
      <c r="A5" s="4" t="s">
        <v>4</v>
      </c>
      <c r="B5" s="6" t="s">
        <v>28</v>
      </c>
    </row>
    <row r="7" customFormat="false" ht="15" hidden="false" customHeight="true" outlineLevel="0" collapsed="false">
      <c r="A7" s="3" t="s">
        <v>29</v>
      </c>
      <c r="B7" s="3"/>
      <c r="D7" s="3" t="s">
        <v>15</v>
      </c>
      <c r="E7" s="3"/>
      <c r="F7" s="3"/>
    </row>
    <row r="8" customFormat="false" ht="15" hidden="false" customHeight="true" outlineLevel="0" collapsed="false">
      <c r="A8" s="10" t="s">
        <v>30</v>
      </c>
      <c r="B8" s="10" t="s">
        <v>31</v>
      </c>
      <c r="D8" s="11" t="s">
        <v>12</v>
      </c>
      <c r="E8" s="12" t="n">
        <f aca="false">AVERAGE(B9:B23)</f>
        <v>5.27333333333333</v>
      </c>
    </row>
    <row r="9" customFormat="false" ht="15" hidden="false" customHeight="true" outlineLevel="0" collapsed="false">
      <c r="A9" s="13" t="n">
        <v>1</v>
      </c>
      <c r="B9" s="13" t="n">
        <v>5.5</v>
      </c>
      <c r="D9" s="11" t="s">
        <v>32</v>
      </c>
      <c r="E9" s="14" t="n">
        <v>6</v>
      </c>
    </row>
    <row r="10" customFormat="false" ht="15" hidden="false" customHeight="true" outlineLevel="0" collapsed="false">
      <c r="A10" s="13" t="n">
        <v>2</v>
      </c>
      <c r="B10" s="13" t="n">
        <v>4</v>
      </c>
      <c r="D10" s="11" t="s">
        <v>33</v>
      </c>
      <c r="E10" s="8" t="n">
        <f aca="false">STDEV(B9:B23)</f>
        <v>0.673441764018099</v>
      </c>
    </row>
    <row r="11" customFormat="false" ht="15" hidden="false" customHeight="true" outlineLevel="0" collapsed="false">
      <c r="A11" s="13" t="n">
        <v>3</v>
      </c>
      <c r="B11" s="13" t="n">
        <v>6.5</v>
      </c>
      <c r="D11" s="11" t="s">
        <v>10</v>
      </c>
      <c r="E11" s="12" t="n">
        <f aca="false">COUNTA(B9:B23)</f>
        <v>15</v>
      </c>
    </row>
    <row r="12" customFormat="false" ht="15" hidden="false" customHeight="true" outlineLevel="0" collapsed="false">
      <c r="A12" s="13" t="n">
        <v>4</v>
      </c>
      <c r="B12" s="13" t="n">
        <v>5</v>
      </c>
      <c r="D12" s="11" t="s">
        <v>34</v>
      </c>
      <c r="E12" s="12" t="n">
        <f aca="false">E11-1</f>
        <v>14</v>
      </c>
    </row>
    <row r="13" customFormat="false" ht="15" hidden="false" customHeight="true" outlineLevel="0" collapsed="false">
      <c r="A13" s="13" t="n">
        <v>5</v>
      </c>
      <c r="B13" s="13" t="n">
        <v>4.5</v>
      </c>
      <c r="D13" s="11" t="s">
        <v>35</v>
      </c>
      <c r="E13" s="8" t="n">
        <f aca="false">E10/SQRT(E11)</f>
        <v>0.173881915778843</v>
      </c>
    </row>
    <row r="14" customFormat="false" ht="15" hidden="false" customHeight="true" outlineLevel="0" collapsed="false">
      <c r="A14" s="13" t="n">
        <v>6</v>
      </c>
      <c r="B14" s="13" t="n">
        <v>6</v>
      </c>
      <c r="D14" s="11" t="s">
        <v>36</v>
      </c>
      <c r="E14" s="8" t="n">
        <f aca="false">(E8-E9)/E13</f>
        <v>-4.17908132316014</v>
      </c>
    </row>
    <row r="15" customFormat="false" ht="15" hidden="false" customHeight="true" outlineLevel="0" collapsed="false">
      <c r="A15" s="13" t="n">
        <v>7</v>
      </c>
      <c r="B15" s="13" t="n">
        <v>5.2</v>
      </c>
      <c r="D15" s="11" t="s">
        <v>37</v>
      </c>
      <c r="E15" s="14" t="n">
        <v>-1.761</v>
      </c>
    </row>
    <row r="16" customFormat="false" ht="15" hidden="false" customHeight="true" outlineLevel="0" collapsed="false">
      <c r="A16" s="13" t="n">
        <v>8</v>
      </c>
      <c r="B16" s="13" t="n">
        <v>5.8</v>
      </c>
      <c r="D16" s="11" t="s">
        <v>38</v>
      </c>
      <c r="E16" s="8" t="n">
        <f aca="false">TDIST(ABS(E14),E12,1)</f>
        <v>0.000463762398343695</v>
      </c>
    </row>
    <row r="17" customFormat="false" ht="15" hidden="false" customHeight="true" outlineLevel="0" collapsed="false">
      <c r="A17" s="13" t="n">
        <v>9</v>
      </c>
      <c r="B17" s="13" t="n">
        <v>4.9</v>
      </c>
    </row>
    <row r="18" customFormat="false" ht="15" hidden="false" customHeight="true" outlineLevel="0" collapsed="false">
      <c r="A18" s="13" t="n">
        <v>10</v>
      </c>
      <c r="B18" s="13" t="n">
        <v>5.1</v>
      </c>
      <c r="D18" s="15" t="s">
        <v>23</v>
      </c>
      <c r="E18" s="8" t="str">
        <f aca="false">IF(E14&lt;E15,"REJECT H0","FAIL TO REJECT H0")</f>
        <v>REJECT H0</v>
      </c>
    </row>
    <row r="19" customFormat="false" ht="45" hidden="false" customHeight="true" outlineLevel="0" collapsed="false">
      <c r="A19" s="13" t="n">
        <v>11</v>
      </c>
      <c r="B19" s="13" t="n">
        <v>4.8</v>
      </c>
      <c r="D19" s="15" t="s">
        <v>24</v>
      </c>
      <c r="E19" s="17" t="s">
        <v>39</v>
      </c>
      <c r="F19" s="17"/>
    </row>
    <row r="20" customFormat="false" ht="15" hidden="false" customHeight="true" outlineLevel="0" collapsed="false">
      <c r="A20" s="13" t="n">
        <v>12</v>
      </c>
      <c r="B20" s="13" t="n">
        <v>6.2</v>
      </c>
    </row>
    <row r="21" customFormat="false" ht="15" hidden="false" customHeight="true" outlineLevel="0" collapsed="false">
      <c r="A21" s="13" t="n">
        <v>13</v>
      </c>
      <c r="B21" s="13" t="n">
        <v>5.3</v>
      </c>
    </row>
    <row r="22" customFormat="false" ht="15" hidden="false" customHeight="true" outlineLevel="0" collapsed="false">
      <c r="A22" s="13" t="n">
        <v>14</v>
      </c>
      <c r="B22" s="13" t="n">
        <v>4.7</v>
      </c>
    </row>
    <row r="23" customFormat="false" ht="15" hidden="false" customHeight="true" outlineLevel="0" collapsed="false">
      <c r="A23" s="13" t="n">
        <v>15</v>
      </c>
      <c r="B23" s="13" t="n">
        <v>5.6</v>
      </c>
    </row>
  </sheetData>
  <mergeCells count="5">
    <mergeCell ref="A1:F1"/>
    <mergeCell ref="A3:F3"/>
    <mergeCell ref="A7:B7"/>
    <mergeCell ref="D7:F7"/>
    <mergeCell ref="E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70"/>
    <col collapsed="false" customWidth="true" hidden="false" outlineLevel="0" max="4" min="3" style="1" width="5"/>
  </cols>
  <sheetData>
    <row r="1" customFormat="false" ht="24.75" hidden="false" customHeight="true" outlineLevel="0" collapsed="false">
      <c r="A1" s="2" t="s">
        <v>40</v>
      </c>
      <c r="B1" s="2"/>
      <c r="C1" s="2"/>
      <c r="D1" s="2"/>
    </row>
    <row r="3" customFormat="false" ht="19.5" hidden="false" customHeight="true" outlineLevel="0" collapsed="false">
      <c r="A3" s="18" t="s">
        <v>0</v>
      </c>
      <c r="B3" s="18"/>
      <c r="C3" s="18"/>
      <c r="D3" s="18"/>
    </row>
    <row r="4" customFormat="false" ht="15" hidden="false" customHeight="true" outlineLevel="0" collapsed="false">
      <c r="A4" s="19" t="s">
        <v>41</v>
      </c>
      <c r="B4" s="20" t="s">
        <v>42</v>
      </c>
    </row>
    <row r="5" customFormat="false" ht="15" hidden="false" customHeight="true" outlineLevel="0" collapsed="false">
      <c r="A5" s="19" t="s">
        <v>43</v>
      </c>
      <c r="B5" s="20" t="s">
        <v>44</v>
      </c>
    </row>
    <row r="6" customFormat="false" ht="15" hidden="false" customHeight="true" outlineLevel="0" collapsed="false">
      <c r="A6" s="19" t="s">
        <v>45</v>
      </c>
      <c r="B6" s="20" t="s">
        <v>46</v>
      </c>
    </row>
    <row r="7" customFormat="false" ht="15" hidden="false" customHeight="true" outlineLevel="0" collapsed="false">
      <c r="A7" s="19" t="s">
        <v>47</v>
      </c>
      <c r="B7" s="20" t="s">
        <v>48</v>
      </c>
    </row>
    <row r="8" customFormat="false" ht="15" hidden="false" customHeight="true" outlineLevel="0" collapsed="false">
      <c r="A8" s="19" t="s">
        <v>49</v>
      </c>
      <c r="B8" s="20" t="s">
        <v>50</v>
      </c>
    </row>
    <row r="9" customFormat="false" ht="54.75" hidden="false" customHeight="true" outlineLevel="0" collapsed="false">
      <c r="A9" s="19" t="s">
        <v>51</v>
      </c>
      <c r="B9" s="20" t="s">
        <v>52</v>
      </c>
    </row>
    <row r="11" customFormat="false" ht="19.5" hidden="false" customHeight="true" outlineLevel="0" collapsed="false">
      <c r="A11" s="18" t="s">
        <v>26</v>
      </c>
      <c r="B11" s="18"/>
      <c r="C11" s="18"/>
      <c r="D11" s="18"/>
    </row>
    <row r="12" customFormat="false" ht="23.25" hidden="false" customHeight="true" outlineLevel="0" collapsed="false">
      <c r="A12" s="19" t="s">
        <v>41</v>
      </c>
      <c r="B12" s="20" t="s">
        <v>53</v>
      </c>
    </row>
    <row r="13" customFormat="false" ht="15" hidden="false" customHeight="true" outlineLevel="0" collapsed="false">
      <c r="A13" s="19" t="s">
        <v>43</v>
      </c>
      <c r="B13" s="20" t="s">
        <v>54</v>
      </c>
    </row>
    <row r="14" customFormat="false" ht="15" hidden="false" customHeight="true" outlineLevel="0" collapsed="false">
      <c r="A14" s="19" t="s">
        <v>55</v>
      </c>
      <c r="B14" s="20" t="s">
        <v>56</v>
      </c>
    </row>
    <row r="15" customFormat="false" ht="15" hidden="false" customHeight="true" outlineLevel="0" collapsed="false">
      <c r="A15" s="19" t="s">
        <v>57</v>
      </c>
      <c r="B15" s="20" t="s">
        <v>58</v>
      </c>
    </row>
    <row r="16" customFormat="false" ht="15" hidden="false" customHeight="true" outlineLevel="0" collapsed="false">
      <c r="A16" s="19" t="s">
        <v>47</v>
      </c>
      <c r="B16" s="20" t="s">
        <v>59</v>
      </c>
    </row>
    <row r="17" customFormat="false" ht="15" hidden="false" customHeight="true" outlineLevel="0" collapsed="false">
      <c r="A17" s="19" t="s">
        <v>49</v>
      </c>
      <c r="B17" s="20" t="s">
        <v>50</v>
      </c>
    </row>
    <row r="18" customFormat="false" ht="54.75" hidden="false" customHeight="true" outlineLevel="0" collapsed="false">
      <c r="A18" s="19" t="s">
        <v>51</v>
      </c>
      <c r="B18" s="20" t="s">
        <v>60</v>
      </c>
    </row>
  </sheetData>
  <mergeCells count="3">
    <mergeCell ref="A1:D1"/>
    <mergeCell ref="A3:D3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2026-06-21T15:38:35Z</dcterms:created>
  <dc:creator>openpyxl</dc:creator>
  <dc:description/>
  <dc:language>en-US</dc:language>
  <cp:lastModifiedBy/>
  <dcterms:modified xsi:type="dcterms:W3CDTF">2026-06-21T15:39:17Z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